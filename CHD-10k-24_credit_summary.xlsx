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YoY Comparisons" sheetId="2" state="visible" r:id="rId2"/>
    <sheet xmlns:r="http://schemas.openxmlformats.org/officeDocument/2006/relationships" name="Extrac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;($#,##0.0);&quot;-&quot;"/>
    <numFmt numFmtId="165" formatCode="0.0%;(0.0%);-"/>
    <numFmt numFmtId="166" formatCode="0.00&quot;x&quot;;(0.00&quot;x&quot;);&quot;-&quot;"/>
  </numFmts>
  <fonts count="15">
    <font>
      <name val="Calibri"/>
      <family val="2"/>
      <color theme="1"/>
      <sz val="11"/>
      <scheme val="minor"/>
    </font>
    <font>
      <name val="Arial"/>
      <b val="1"/>
      <color rgb="00001F5B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color rgb="00D9D9D9"/>
      <sz val="10"/>
    </font>
    <font>
      <name val="Arial"/>
      <color rgb="00001F5B"/>
      <sz val="10"/>
    </font>
    <font>
      <name val="Arial"/>
      <b val="1"/>
      <color rgb="00001F5B"/>
      <sz val="13"/>
    </font>
    <font>
      <name val="Arial"/>
      <b val="1"/>
      <color rgb="00FFC000"/>
      <sz val="9"/>
    </font>
    <font>
      <name val="Arial"/>
      <color rgb="00000000"/>
      <sz val="9"/>
    </font>
    <font>
      <name val="Arial"/>
      <b val="1"/>
      <color rgb="00001F5B"/>
      <sz val="10"/>
    </font>
    <font>
      <name val="Arial"/>
      <color rgb="0000B050"/>
      <sz val="10"/>
    </font>
  </fonts>
  <fills count="7">
    <fill>
      <patternFill/>
    </fill>
    <fill>
      <patternFill patternType="gray125"/>
    </fill>
    <fill>
      <patternFill patternType="solid">
        <fgColor rgb="00001F5B"/>
      </patternFill>
    </fill>
    <fill>
      <patternFill patternType="solid">
        <fgColor rgb="003A568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pivotButton="0" quotePrefix="0" xfId="0"/>
    <xf numFmtId="164" fontId="5" fillId="4" borderId="1" applyAlignment="1" pivotButton="0" quotePrefix="0" xfId="0">
      <alignment horizontal="right"/>
    </xf>
    <xf numFmtId="0" fontId="4" fillId="5" borderId="1" pivotButton="0" quotePrefix="0" xfId="0"/>
    <xf numFmtId="164" fontId="5" fillId="5" borderId="1" applyAlignment="1" pivotButton="0" quotePrefix="0" xfId="0">
      <alignment horizontal="right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8" fillId="5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5" borderId="1" pivotButton="0" quotePrefix="0" xfId="0"/>
    <xf numFmtId="166" fontId="7" fillId="5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0" fontId="10" fillId="0" borderId="0" pivotButton="0" quotePrefix="0" xfId="0"/>
    <xf numFmtId="0" fontId="11" fillId="6" borderId="1" applyAlignment="1" pivotButton="0" quotePrefix="0" xfId="0">
      <alignment horizontal="center"/>
    </xf>
    <xf numFmtId="0" fontId="12" fillId="6" borderId="1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CHD-10k-24 — Credit Financial Summary</t>
        </is>
      </c>
    </row>
    <row r="2">
      <c r="A2" s="2" t="inlineStr">
        <is>
          <t>Source: 10-K Filing  |  Generated: July 14, 2026  |  Basis: Millions</t>
        </is>
      </c>
    </row>
    <row r="3">
      <c r="A3" s="3" t="inlineStr">
        <is>
          <t>Metric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FY2022</t>
        </is>
      </c>
    </row>
    <row r="4">
      <c r="A4" s="4" t="inlineStr">
        <is>
          <t>INCOME STATEMENT</t>
        </is>
      </c>
      <c r="B4" s="5" t="n"/>
      <c r="C4" s="5" t="n"/>
      <c r="D4" s="6" t="n"/>
    </row>
    <row r="5">
      <c r="A5" s="7" t="inlineStr">
        <is>
          <t>Revenue</t>
        </is>
      </c>
      <c r="B5" s="8" t="n">
        <v>6107.1</v>
      </c>
      <c r="C5" s="8" t="n">
        <v>5867.9</v>
      </c>
      <c r="D5" s="8" t="n">
        <v>5375.6</v>
      </c>
    </row>
    <row r="6">
      <c r="A6" s="9" t="inlineStr">
        <is>
          <t>Cost of Sales</t>
        </is>
      </c>
      <c r="B6" s="10" t="n">
        <v>3317</v>
      </c>
      <c r="C6" s="10" t="n">
        <v>3279.4</v>
      </c>
      <c r="D6" s="10" t="n">
        <v>3125.6</v>
      </c>
    </row>
    <row r="7">
      <c r="A7" s="11" t="inlineStr">
        <is>
          <t xml:space="preserve">  Gross Profit</t>
        </is>
      </c>
      <c r="B7" s="12">
        <f>B5-B6</f>
        <v/>
      </c>
      <c r="C7" s="12">
        <f>C5-C6</f>
        <v/>
      </c>
      <c r="D7" s="12">
        <f>D5-D6</f>
        <v/>
      </c>
    </row>
    <row r="8">
      <c r="A8" s="9" t="inlineStr">
        <is>
          <t>SG&amp;A Expense</t>
        </is>
      </c>
      <c r="B8" s="10" t="n">
        <v>927.8</v>
      </c>
      <c r="C8" s="10" t="n">
        <v>889.8</v>
      </c>
      <c r="D8" s="10" t="n">
        <v>706</v>
      </c>
    </row>
    <row r="9">
      <c r="A9" s="11" t="inlineStr">
        <is>
          <t>Operating Income (EBIT)</t>
        </is>
      </c>
      <c r="B9" s="13" t="n">
        <v>807.1</v>
      </c>
      <c r="C9" s="13" t="n">
        <v>1057.4</v>
      </c>
      <c r="D9" s="13" t="n">
        <v>597.8</v>
      </c>
    </row>
    <row r="10">
      <c r="A10" s="9" t="inlineStr">
        <is>
          <t>D&amp;A</t>
        </is>
      </c>
      <c r="B10" s="10" t="n">
        <v>239.1</v>
      </c>
      <c r="C10" s="10" t="n">
        <v>225.2</v>
      </c>
      <c r="D10" s="10" t="n">
        <v>219</v>
      </c>
    </row>
    <row r="11">
      <c r="A11" s="9" t="inlineStr">
        <is>
          <t>Rent / Lease Expense</t>
        </is>
      </c>
      <c r="B11" s="10" t="n">
        <v>9.300000000000004</v>
      </c>
      <c r="C11" s="10" t="n">
        <v>7.399999999999999</v>
      </c>
      <c r="D11" s="10" t="n">
        <v>7</v>
      </c>
    </row>
    <row r="12">
      <c r="A12" s="11" t="inlineStr">
        <is>
          <t>EBITDA</t>
        </is>
      </c>
      <c r="B12" s="13" t="n">
        <v>1055.5</v>
      </c>
      <c r="C12" s="13" t="n">
        <v>1290</v>
      </c>
      <c r="D12" s="13" t="n">
        <v>823.8</v>
      </c>
    </row>
    <row r="13">
      <c r="A13" s="9" t="inlineStr">
        <is>
          <t>Net Income</t>
        </is>
      </c>
      <c r="B13" s="10" t="n">
        <v>585.3</v>
      </c>
      <c r="C13" s="10" t="n">
        <v>755.6</v>
      </c>
      <c r="D13" s="10" t="n">
        <v>413.9</v>
      </c>
    </row>
    <row r="15">
      <c r="A15" s="4" t="inlineStr">
        <is>
          <t>BALANCE SHEET</t>
        </is>
      </c>
      <c r="B15" s="5" t="n"/>
      <c r="C15" s="5" t="n"/>
      <c r="D15" s="6" t="n"/>
    </row>
    <row r="16">
      <c r="A16" s="7" t="inlineStr">
        <is>
          <t>Cash &amp; Equivalents</t>
        </is>
      </c>
      <c r="B16" s="8" t="n">
        <v>964.1</v>
      </c>
      <c r="C16" s="8" t="n">
        <v>344.5</v>
      </c>
      <c r="D16" s="8" t="n">
        <v>270.3</v>
      </c>
    </row>
    <row r="17">
      <c r="A17" s="9" t="inlineStr">
        <is>
          <t>Total Assets</t>
        </is>
      </c>
      <c r="B17" s="10" t="n">
        <v>8883.1</v>
      </c>
      <c r="C17" s="10" t="n">
        <v>8569.200000000001</v>
      </c>
      <c r="D17" s="14" t="inlineStr">
        <is>
          <t>—</t>
        </is>
      </c>
    </row>
    <row r="18">
      <c r="A18" s="7" t="inlineStr">
        <is>
          <t>Total Liabilities</t>
        </is>
      </c>
      <c r="B18" s="8" t="n">
        <v>4522.3</v>
      </c>
      <c r="C18" s="8" t="n">
        <v>4713.8</v>
      </c>
      <c r="D18" s="15" t="inlineStr">
        <is>
          <t>—</t>
        </is>
      </c>
    </row>
    <row r="19">
      <c r="A19" s="9" t="inlineStr">
        <is>
          <t>Total Equity</t>
        </is>
      </c>
      <c r="B19" s="10" t="n">
        <v>4360.8</v>
      </c>
      <c r="C19" s="10" t="n">
        <v>3855.4</v>
      </c>
      <c r="D19" s="14" t="inlineStr">
        <is>
          <t>—</t>
        </is>
      </c>
    </row>
    <row r="20">
      <c r="A20" s="11" t="inlineStr">
        <is>
          <t>Total Debt</t>
        </is>
      </c>
      <c r="B20" s="13" t="n">
        <v>2204.6</v>
      </c>
      <c r="C20" s="13" t="n">
        <v>2402.1</v>
      </c>
      <c r="D20" s="15" t="inlineStr">
        <is>
          <t>—</t>
        </is>
      </c>
    </row>
    <row r="21">
      <c r="A21" s="9" t="inlineStr">
        <is>
          <t xml:space="preserve">  Long-Term Debt</t>
        </is>
      </c>
      <c r="B21" s="10" t="n">
        <v>2204.6</v>
      </c>
      <c r="C21" s="10" t="n">
        <v>2202.2</v>
      </c>
      <c r="D21" s="14" t="inlineStr">
        <is>
          <t>—</t>
        </is>
      </c>
    </row>
    <row r="22">
      <c r="A22" s="9" t="inlineStr">
        <is>
          <t xml:space="preserve">  Current Portion LTD (CPLTD)</t>
        </is>
      </c>
      <c r="B22" s="10" t="n">
        <v>0</v>
      </c>
      <c r="C22" s="10" t="n">
        <v>199.9</v>
      </c>
      <c r="D22" s="10" t="n">
        <v>0</v>
      </c>
    </row>
    <row r="23">
      <c r="A23" s="7" t="inlineStr">
        <is>
          <t>Revolver — Facility Size</t>
        </is>
      </c>
      <c r="B23" s="8" t="n">
        <v>1500</v>
      </c>
      <c r="C23" s="8" t="n">
        <v>1500</v>
      </c>
      <c r="D23" s="8" t="n">
        <v>1500</v>
      </c>
    </row>
    <row r="24">
      <c r="A24" s="9" t="inlineStr">
        <is>
          <t>Revolver — Borrowings</t>
        </is>
      </c>
      <c r="B24" s="10" t="n">
        <v>0</v>
      </c>
      <c r="C24" s="10" t="n">
        <v>0</v>
      </c>
      <c r="D24" s="10" t="n">
        <v>0</v>
      </c>
    </row>
    <row r="25">
      <c r="A25" s="7" t="inlineStr">
        <is>
          <t>Revolver — Availability</t>
        </is>
      </c>
      <c r="B25" s="8" t="n">
        <v>1494</v>
      </c>
      <c r="C25" s="15" t="inlineStr">
        <is>
          <t>—</t>
        </is>
      </c>
      <c r="D25" s="15" t="inlineStr">
        <is>
          <t>—</t>
        </is>
      </c>
    </row>
    <row r="27">
      <c r="A27" s="4" t="inlineStr">
        <is>
          <t>CASH FLOW</t>
        </is>
      </c>
      <c r="B27" s="5" t="n"/>
      <c r="C27" s="5" t="n"/>
      <c r="D27" s="6" t="n"/>
    </row>
    <row r="28">
      <c r="A28" s="7" t="inlineStr">
        <is>
          <t>Cash from Operations (CFO)</t>
        </is>
      </c>
      <c r="B28" s="8" t="n">
        <v>1156.2</v>
      </c>
      <c r="C28" s="8" t="n">
        <v>1030.6</v>
      </c>
      <c r="D28" s="8" t="n">
        <v>885.2</v>
      </c>
    </row>
    <row r="29">
      <c r="A29" s="9" t="inlineStr">
        <is>
          <t>Capital Expenditures (CapEx)</t>
        </is>
      </c>
      <c r="B29" s="10" t="n">
        <v>179.8</v>
      </c>
      <c r="C29" s="10" t="n">
        <v>223.5</v>
      </c>
      <c r="D29" s="10" t="n">
        <v>178.8</v>
      </c>
    </row>
    <row r="30">
      <c r="A30" s="11" t="inlineStr">
        <is>
          <t>Free Cash Flow</t>
        </is>
      </c>
      <c r="B30" s="13" t="n">
        <v>976.4000000000001</v>
      </c>
      <c r="C30" s="13" t="n">
        <v>807.0999999999999</v>
      </c>
      <c r="D30" s="13" t="n">
        <v>706.4000000000001</v>
      </c>
    </row>
    <row r="31">
      <c r="A31" s="9" t="inlineStr">
        <is>
          <t>Cash Paid for Interest</t>
        </is>
      </c>
      <c r="B31" s="10" t="n">
        <v>94.40000000000001</v>
      </c>
      <c r="C31" s="10" t="n">
        <v>111.9</v>
      </c>
      <c r="D31" s="10" t="n">
        <v>86</v>
      </c>
    </row>
    <row r="32">
      <c r="A32" s="9" t="inlineStr">
        <is>
          <t>Cash Paid for Taxes</t>
        </is>
      </c>
      <c r="B32" s="10" t="n">
        <v>259.6</v>
      </c>
      <c r="C32" s="10" t="n">
        <v>228.2</v>
      </c>
      <c r="D32" s="10" t="n">
        <v>213.1</v>
      </c>
    </row>
    <row r="34">
      <c r="A34" s="4" t="inlineStr">
        <is>
          <t>CREDIT METRICS</t>
        </is>
      </c>
      <c r="B34" s="5" t="n"/>
      <c r="C34" s="5" t="n"/>
      <c r="D34" s="6" t="n"/>
    </row>
    <row r="35">
      <c r="A35" s="7" t="inlineStr">
        <is>
          <t>EBITDA Margin</t>
        </is>
      </c>
      <c r="B35" s="16" t="n">
        <v>0.1728316222102143</v>
      </c>
      <c r="C35" s="16" t="n">
        <v>0.2198401472417731</v>
      </c>
      <c r="D35" s="16" t="n">
        <v>0.1532480095245182</v>
      </c>
    </row>
    <row r="36">
      <c r="A36" s="17" t="inlineStr">
        <is>
          <t>Leverage (Total Debt / EBITDA)</t>
        </is>
      </c>
      <c r="B36" s="18" t="n">
        <v>2.088678351492184</v>
      </c>
      <c r="C36" s="18" t="n">
        <v>1.862093023255813</v>
      </c>
      <c r="D36" s="14" t="inlineStr">
        <is>
          <t>—</t>
        </is>
      </c>
    </row>
    <row r="37">
      <c r="A37" s="11" t="inlineStr">
        <is>
          <t>FCC</t>
        </is>
      </c>
      <c r="B37" s="19" t="n">
        <v>6.526483050847458</v>
      </c>
      <c r="C37" s="19" t="n">
        <v>2.688582424631174</v>
      </c>
      <c r="D37" s="19" t="n">
        <v>5.022093023255814</v>
      </c>
    </row>
    <row r="38">
      <c r="A38" s="9" t="inlineStr">
        <is>
          <t>Altman Z-Score</t>
        </is>
      </c>
      <c r="B38" s="20" t="n">
        <v>1.725400303868737</v>
      </c>
      <c r="C38" s="20" t="n">
        <v>1.732890964214798</v>
      </c>
      <c r="D38" s="14" t="inlineStr">
        <is>
          <t>—</t>
        </is>
      </c>
    </row>
    <row r="39">
      <c r="A39" s="7" t="inlineStr">
        <is>
          <t>PD Score (1–12)</t>
        </is>
      </c>
      <c r="B39" s="21" t="n">
        <v>4</v>
      </c>
      <c r="C39" s="21" t="n">
        <v>1</v>
      </c>
      <c r="D39" s="21" t="n">
        <v>3</v>
      </c>
    </row>
    <row r="40">
      <c r="A40" s="9" t="inlineStr">
        <is>
          <t>Credit Rating</t>
        </is>
      </c>
      <c r="B40" s="22" t="inlineStr">
        <is>
          <t>Non-Investment Grade</t>
        </is>
      </c>
      <c r="C40" s="22" t="inlineStr">
        <is>
          <t>Investment Grade</t>
        </is>
      </c>
      <c r="D40" s="22" t="inlineStr">
        <is>
          <t>Investment Grade</t>
        </is>
      </c>
    </row>
  </sheetData>
  <mergeCells count="6">
    <mergeCell ref="A1:D1"/>
    <mergeCell ref="A27:D27"/>
    <mergeCell ref="A34:D34"/>
    <mergeCell ref="A4:D4"/>
    <mergeCell ref="A15:D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CHD-10k-24 — Year-over-Year Comparison</t>
        </is>
      </c>
    </row>
    <row r="3">
      <c r="A3" s="3" t="inlineStr">
        <is>
          <t>Metric</t>
        </is>
      </c>
      <c r="B3" s="3" t="inlineStr">
        <is>
          <t>FY2024</t>
        </is>
      </c>
      <c r="C3" s="3" t="inlineStr">
        <is>
          <t>FY2023</t>
        </is>
      </c>
      <c r="D3" s="3" t="inlineStr">
        <is>
          <t>Change ($)</t>
        </is>
      </c>
      <c r="E3" s="3" t="inlineStr">
        <is>
          <t>Change (%)</t>
        </is>
      </c>
    </row>
    <row r="4">
      <c r="A4" s="9" t="inlineStr">
        <is>
          <t>Revenue</t>
        </is>
      </c>
      <c r="B4" s="10" t="n">
        <v>6107.1</v>
      </c>
      <c r="C4" s="10" t="n">
        <v>5867.9</v>
      </c>
      <c r="D4" s="23">
        <f>B4-C4</f>
        <v/>
      </c>
      <c r="E4" s="24">
        <f>IF(C4=0,"—",D4/C4)</f>
        <v/>
      </c>
    </row>
    <row r="5">
      <c r="A5" s="7" t="inlineStr">
        <is>
          <t>Cost of Sales</t>
        </is>
      </c>
      <c r="B5" s="8" t="n">
        <v>3317</v>
      </c>
      <c r="C5" s="8" t="n">
        <v>3279.4</v>
      </c>
      <c r="D5" s="25">
        <f>B5-C5</f>
        <v/>
      </c>
      <c r="E5" s="26">
        <f>IF(C5=0,"—",D5/C5)</f>
        <v/>
      </c>
    </row>
    <row r="6">
      <c r="A6" s="9" t="inlineStr">
        <is>
          <t>SG&amp;A Expense</t>
        </is>
      </c>
      <c r="B6" s="10" t="n">
        <v>927.8</v>
      </c>
      <c r="C6" s="10" t="n">
        <v>889.8</v>
      </c>
      <c r="D6" s="23">
        <f>B6-C6</f>
        <v/>
      </c>
      <c r="E6" s="24">
        <f>IF(C6=0,"—",D6/C6)</f>
        <v/>
      </c>
    </row>
    <row r="7">
      <c r="A7" s="7" t="inlineStr">
        <is>
          <t>Operating Income</t>
        </is>
      </c>
      <c r="B7" s="8" t="n">
        <v>807.1</v>
      </c>
      <c r="C7" s="8" t="n">
        <v>1057.4</v>
      </c>
      <c r="D7" s="25">
        <f>B7-C7</f>
        <v/>
      </c>
      <c r="E7" s="26">
        <f>IF(C7=0,"—",D7/C7)</f>
        <v/>
      </c>
    </row>
    <row r="8">
      <c r="A8" s="9" t="inlineStr">
        <is>
          <t>EBITDA</t>
        </is>
      </c>
      <c r="B8" s="10" t="n">
        <v>1055.5</v>
      </c>
      <c r="C8" s="10" t="n">
        <v>1290</v>
      </c>
      <c r="D8" s="23">
        <f>B8-C8</f>
        <v/>
      </c>
      <c r="E8" s="24">
        <f>IF(C8=0,"—",D8/C8)</f>
        <v/>
      </c>
    </row>
    <row r="9">
      <c r="A9" s="7" t="inlineStr">
        <is>
          <t>EBITDA Margin</t>
        </is>
      </c>
      <c r="B9" s="16" t="n">
        <v>0.1728316222102143</v>
      </c>
      <c r="C9" s="16" t="n">
        <v>0.2198401472417731</v>
      </c>
      <c r="D9" s="26">
        <f>B9-C9</f>
        <v/>
      </c>
      <c r="E9" s="15" t="inlineStr">
        <is>
          <t>N/A</t>
        </is>
      </c>
    </row>
    <row r="10">
      <c r="A10" s="9" t="inlineStr">
        <is>
          <t>Net Income</t>
        </is>
      </c>
      <c r="B10" s="10" t="n">
        <v>585.3</v>
      </c>
      <c r="C10" s="10" t="n">
        <v>755.6</v>
      </c>
      <c r="D10" s="23">
        <f>B10-C10</f>
        <v/>
      </c>
      <c r="E10" s="24">
        <f>IF(C10=0,"—",D10/C10)</f>
        <v/>
      </c>
    </row>
    <row r="11">
      <c r="A11" s="7" t="inlineStr">
        <is>
          <t>CFO</t>
        </is>
      </c>
      <c r="B11" s="8" t="n">
        <v>1156.2</v>
      </c>
      <c r="C11" s="8" t="n">
        <v>1030.6</v>
      </c>
      <c r="D11" s="25">
        <f>B11-C11</f>
        <v/>
      </c>
      <c r="E11" s="26">
        <f>IF(C11=0,"—",D11/C11)</f>
        <v/>
      </c>
    </row>
    <row r="12">
      <c r="A12" s="9" t="inlineStr">
        <is>
          <t>CapEx</t>
        </is>
      </c>
      <c r="B12" s="10" t="n">
        <v>179.8</v>
      </c>
      <c r="C12" s="10" t="n">
        <v>223.5</v>
      </c>
      <c r="D12" s="23">
        <f>B12-C12</f>
        <v/>
      </c>
      <c r="E12" s="24">
        <f>IF(C12=0,"—",D12/C12)</f>
        <v/>
      </c>
    </row>
    <row r="13">
      <c r="A13" s="7" t="inlineStr">
        <is>
          <t>Free Cash Flow</t>
        </is>
      </c>
      <c r="B13" s="8" t="n">
        <v>976.4000000000001</v>
      </c>
      <c r="C13" s="8" t="n">
        <v>807.0999999999999</v>
      </c>
      <c r="D13" s="25">
        <f>B13-C13</f>
        <v/>
      </c>
      <c r="E13" s="26">
        <f>IF(C13=0,"—",D13/C13)</f>
        <v/>
      </c>
    </row>
    <row r="14">
      <c r="A14" s="9" t="inlineStr">
        <is>
          <t>Total Debt</t>
        </is>
      </c>
      <c r="B14" s="10" t="n">
        <v>2204.6</v>
      </c>
      <c r="C14" s="10" t="n">
        <v>2402.1</v>
      </c>
      <c r="D14" s="23">
        <f>B14-C14</f>
        <v/>
      </c>
      <c r="E14" s="24">
        <f>IF(C14=0,"—",D14/C14)</f>
        <v/>
      </c>
    </row>
    <row r="15">
      <c r="A15" s="7" t="inlineStr">
        <is>
          <t>Cash</t>
        </is>
      </c>
      <c r="B15" s="8" t="n">
        <v>964.1</v>
      </c>
      <c r="C15" s="8" t="n">
        <v>344.5</v>
      </c>
      <c r="D15" s="25">
        <f>B15-C15</f>
        <v/>
      </c>
      <c r="E15" s="26">
        <f>IF(C15=0,"—",D15/C15)</f>
        <v/>
      </c>
    </row>
    <row r="16">
      <c r="A16" s="9" t="inlineStr">
        <is>
          <t>Leverage</t>
        </is>
      </c>
      <c r="B16" s="27" t="n">
        <v>2.088678351492184</v>
      </c>
      <c r="C16" s="27" t="n">
        <v>1.862093023255813</v>
      </c>
      <c r="D16" s="28">
        <f>B16-C16</f>
        <v/>
      </c>
      <c r="E16" s="24">
        <f>IF(C16=0,"—",D16/C16)</f>
        <v/>
      </c>
    </row>
    <row r="17">
      <c r="A17" s="7" t="inlineStr">
        <is>
          <t>FCC</t>
        </is>
      </c>
      <c r="B17" s="29" t="n">
        <v>6.526483050847458</v>
      </c>
      <c r="C17" s="29" t="n">
        <v>2.688582424631174</v>
      </c>
      <c r="D17" s="30">
        <f>B17-C17</f>
        <v/>
      </c>
      <c r="E17" s="26">
        <f>IF(C17=0,"—",D17/C17)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2" customHeight="1">
      <c r="A1" s="31" t="inlineStr">
        <is>
          <t>Extraction &amp; Validation Notes</t>
        </is>
      </c>
    </row>
    <row r="3">
      <c r="A3" s="3" t="inlineStr">
        <is>
          <t>Type</t>
        </is>
      </c>
      <c r="B3" s="3" t="inlineStr">
        <is>
          <t>Note</t>
        </is>
      </c>
    </row>
    <row r="4" ht="30" customHeight="1">
      <c r="A4" s="32" t="inlineStr">
        <is>
          <t>⚠ Extraction</t>
        </is>
      </c>
      <c r="B4" s="33" t="inlineStr">
        <is>
          <t>FY2022: total_debt missing; leverage not computed.</t>
        </is>
      </c>
    </row>
    <row r="5" ht="30" customHeight="1">
      <c r="A5" s="32" t="inlineStr">
        <is>
          <t>ℹ Info</t>
        </is>
      </c>
      <c r="B5" s="33" t="inlineStr">
        <is>
          <t>FY2022: Insufficient data for Altman Z-Score.</t>
        </is>
      </c>
    </row>
    <row r="8">
      <c r="A8" s="34" t="inlineStr">
        <is>
          <t>Completeness Score</t>
        </is>
      </c>
      <c r="B8" s="35" t="inlineStr">
        <is>
          <t>100% — Sufficient for leverage/FCC analysis.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2026-07-14T20:21:52Z</dcterms:created>
  <dcterms:modified xmlns:dcterms="http://purl.org/dc/terms/" xmlns:xsi="http://www.w3.org/2001/XMLSchema-instance" xsi:type="dcterms:W3CDTF">2026-07-14T20:21:52Z</dcterms:modified>
</cp:coreProperties>
</file>